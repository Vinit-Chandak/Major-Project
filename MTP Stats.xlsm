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foz\Downloads\MTP\"/>
    </mc:Choice>
  </mc:AlternateContent>
  <xr:revisionPtr revIDLastSave="0" documentId="8_{026CE108-B84C-409D-A3C8-23CB6B28C688}" xr6:coauthVersionLast="47" xr6:coauthVersionMax="47" xr10:uidLastSave="{00000000-0000-0000-0000-000000000000}"/>
  <bookViews>
    <workbookView xWindow="7200" yWindow="75" windowWidth="21600" windowHeight="11295" xr2:uid="{5144D4B7-6289-4404-B89E-A9AB75CF652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6" i="1" l="1"/>
  <c r="K53" i="1"/>
  <c r="L53" i="1"/>
  <c r="M53" i="1"/>
  <c r="M52" i="1"/>
  <c r="L52" i="1"/>
  <c r="K52" i="1"/>
  <c r="M51" i="1"/>
  <c r="L51" i="1"/>
  <c r="K51" i="1"/>
  <c r="M50" i="1"/>
  <c r="L50" i="1"/>
  <c r="K50" i="1"/>
  <c r="M49" i="1"/>
  <c r="L49" i="1"/>
  <c r="K49" i="1"/>
  <c r="M48" i="1"/>
  <c r="L48" i="1"/>
  <c r="K48" i="1"/>
</calcChain>
</file>

<file path=xl/sharedStrings.xml><?xml version="1.0" encoding="utf-8"?>
<sst xmlns="http://schemas.openxmlformats.org/spreadsheetml/2006/main" count="43" uniqueCount="18">
  <si>
    <t>Model</t>
  </si>
  <si>
    <t>GPT 4o</t>
  </si>
  <si>
    <t>Claude Opus</t>
  </si>
  <si>
    <t>Gemini 1.5 Pro</t>
  </si>
  <si>
    <t>Vertical Bar Graph</t>
  </si>
  <si>
    <t>Horizontal Bar Graph</t>
  </si>
  <si>
    <t>Pie Chart</t>
  </si>
  <si>
    <t>Line Chart</t>
  </si>
  <si>
    <t>All correct without system prompt.</t>
  </si>
  <si>
    <t>Total correct without system prompt.</t>
  </si>
  <si>
    <t>Total wrong without system prompt.</t>
  </si>
  <si>
    <t>All correct with system prompt.</t>
  </si>
  <si>
    <t>Total correct with system prompt.</t>
  </si>
  <si>
    <t>Total wrong with system prompt.</t>
  </si>
  <si>
    <t>Total Questions</t>
  </si>
  <si>
    <t>Overall stats:</t>
  </si>
  <si>
    <t>GPT-4o</t>
  </si>
  <si>
    <t>Claude 3 Opus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</si>
</sst>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3F54CEC-1BFB-4EEC-974A-4DCCCD3070D6}">
  <we:reference id="78f4d70e-fb8b-4f8d-b284-0a2e60aeef37" version="3.4.3.0" store="EXCatalog" storeType="EXCatalog"/>
  <we:alternateReferences>
    <we:reference id="WA104380955" version="3.4.3.0" store="en-US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9E95-95BA-4726-AD7E-DA05DA2072D9}">
  <sheetPr codeName="Sheet1"/>
  <dimension ref="A1:M53"/>
  <sheetViews>
    <sheetView tabSelected="1" topLeftCell="A35" zoomScale="99" zoomScaleNormal="130" workbookViewId="0">
      <selection activeCell="F40" sqref="F40"/>
    </sheetView>
  </sheetViews>
  <sheetFormatPr defaultRowHeight="15" x14ac:dyDescent="0.25"/>
  <cols>
    <col min="1" max="1" width="33.85546875" bestFit="1" customWidth="1"/>
    <col min="2" max="2" width="13.85546875" bestFit="1" customWidth="1"/>
    <col min="3" max="3" width="8.140625" bestFit="1" customWidth="1"/>
    <col min="4" max="4" width="12.28515625" bestFit="1" customWidth="1"/>
    <col min="5" max="5" width="16.140625" customWidth="1"/>
    <col min="6" max="6" width="4.28515625" bestFit="1" customWidth="1"/>
  </cols>
  <sheetData>
    <row r="1" spans="1:10" x14ac:dyDescent="0.25">
      <c r="A1" t="s">
        <v>4</v>
      </c>
    </row>
    <row r="2" spans="1:10" x14ac:dyDescent="0.25">
      <c r="A2" t="s">
        <v>0</v>
      </c>
      <c r="B2" t="s">
        <v>3</v>
      </c>
      <c r="C2" t="s">
        <v>1</v>
      </c>
      <c r="D2" t="s">
        <v>2</v>
      </c>
    </row>
    <row r="4" spans="1:10" x14ac:dyDescent="0.25">
      <c r="A4" t="s">
        <v>14</v>
      </c>
      <c r="F4">
        <v>102</v>
      </c>
    </row>
    <row r="6" spans="1:10" x14ac:dyDescent="0.25">
      <c r="A6" t="s">
        <v>8</v>
      </c>
      <c r="B6">
        <v>11</v>
      </c>
      <c r="C6">
        <v>11</v>
      </c>
      <c r="D6">
        <v>3</v>
      </c>
      <c r="F6">
        <v>0</v>
      </c>
      <c r="H6">
        <v>55</v>
      </c>
      <c r="I6">
        <v>55</v>
      </c>
      <c r="J6">
        <v>15</v>
      </c>
    </row>
    <row r="7" spans="1:10" x14ac:dyDescent="0.25">
      <c r="A7" t="s">
        <v>11</v>
      </c>
      <c r="B7">
        <v>12</v>
      </c>
      <c r="C7">
        <v>14</v>
      </c>
      <c r="D7">
        <v>3</v>
      </c>
      <c r="H7">
        <v>60</v>
      </c>
      <c r="I7">
        <v>70</v>
      </c>
      <c r="J7">
        <v>15</v>
      </c>
    </row>
    <row r="8" spans="1:10" x14ac:dyDescent="0.25">
      <c r="A8" t="s">
        <v>9</v>
      </c>
      <c r="B8">
        <v>88</v>
      </c>
      <c r="C8">
        <v>93</v>
      </c>
      <c r="D8">
        <v>52</v>
      </c>
      <c r="H8">
        <v>86.2</v>
      </c>
      <c r="I8">
        <v>91.1</v>
      </c>
      <c r="J8">
        <v>50.9</v>
      </c>
    </row>
    <row r="9" spans="1:10" x14ac:dyDescent="0.25">
      <c r="A9" t="s">
        <v>12</v>
      </c>
      <c r="B9">
        <v>90</v>
      </c>
      <c r="C9">
        <v>96</v>
      </c>
      <c r="D9">
        <v>56</v>
      </c>
      <c r="H9">
        <v>88.2</v>
      </c>
      <c r="I9">
        <v>94.1</v>
      </c>
      <c r="J9">
        <v>54.9</v>
      </c>
    </row>
    <row r="10" spans="1:10" x14ac:dyDescent="0.25">
      <c r="A10" t="s">
        <v>10</v>
      </c>
      <c r="B10">
        <v>14</v>
      </c>
      <c r="C10">
        <v>9</v>
      </c>
      <c r="D10">
        <v>50</v>
      </c>
      <c r="H10">
        <v>13.8</v>
      </c>
      <c r="I10">
        <v>8.9</v>
      </c>
      <c r="J10">
        <v>49.1</v>
      </c>
    </row>
    <row r="11" spans="1:10" x14ac:dyDescent="0.25">
      <c r="A11" t="s">
        <v>13</v>
      </c>
      <c r="B11">
        <v>12</v>
      </c>
      <c r="C11">
        <v>6</v>
      </c>
      <c r="D11">
        <v>46</v>
      </c>
      <c r="H11">
        <v>11.8</v>
      </c>
      <c r="I11">
        <v>5.9</v>
      </c>
      <c r="J11">
        <v>45.1</v>
      </c>
    </row>
    <row r="14" spans="1:10" x14ac:dyDescent="0.25">
      <c r="A14" t="s">
        <v>5</v>
      </c>
      <c r="F14" s="1">
        <v>98</v>
      </c>
    </row>
    <row r="15" spans="1:10" x14ac:dyDescent="0.25">
      <c r="F15">
        <v>0</v>
      </c>
    </row>
    <row r="16" spans="1:10" x14ac:dyDescent="0.25">
      <c r="A16" t="s">
        <v>8</v>
      </c>
      <c r="B16" s="1">
        <v>11</v>
      </c>
      <c r="C16" s="1">
        <v>10</v>
      </c>
      <c r="D16">
        <v>5</v>
      </c>
      <c r="F16">
        <v>0</v>
      </c>
      <c r="H16">
        <v>55</v>
      </c>
      <c r="I16">
        <v>50</v>
      </c>
      <c r="J16">
        <v>25</v>
      </c>
    </row>
    <row r="17" spans="1:10" x14ac:dyDescent="0.25">
      <c r="A17" t="s">
        <v>11</v>
      </c>
      <c r="B17" s="1">
        <v>15</v>
      </c>
      <c r="C17" s="1">
        <v>11</v>
      </c>
      <c r="D17" s="1">
        <v>6</v>
      </c>
      <c r="H17">
        <v>75</v>
      </c>
      <c r="I17">
        <v>55</v>
      </c>
      <c r="J17">
        <v>30</v>
      </c>
    </row>
    <row r="18" spans="1:10" x14ac:dyDescent="0.25">
      <c r="A18" t="s">
        <v>9</v>
      </c>
      <c r="B18" s="1">
        <v>85</v>
      </c>
      <c r="C18" s="1">
        <v>83</v>
      </c>
      <c r="D18" s="1">
        <v>63</v>
      </c>
      <c r="H18">
        <v>86.7</v>
      </c>
      <c r="I18">
        <v>84.6</v>
      </c>
      <c r="J18">
        <v>64.2</v>
      </c>
    </row>
    <row r="19" spans="1:10" x14ac:dyDescent="0.25">
      <c r="A19" t="s">
        <v>12</v>
      </c>
      <c r="B19" s="1">
        <v>92</v>
      </c>
      <c r="C19" s="1">
        <v>85</v>
      </c>
      <c r="D19" s="1">
        <v>67</v>
      </c>
      <c r="H19">
        <v>93.8</v>
      </c>
      <c r="I19">
        <v>86.7</v>
      </c>
      <c r="J19">
        <v>68.3</v>
      </c>
    </row>
    <row r="20" spans="1:10" x14ac:dyDescent="0.25">
      <c r="A20" t="s">
        <v>10</v>
      </c>
      <c r="B20" s="1">
        <v>14</v>
      </c>
      <c r="C20" s="1">
        <v>15</v>
      </c>
      <c r="D20" s="1">
        <v>35</v>
      </c>
      <c r="H20">
        <v>13.3</v>
      </c>
      <c r="I20">
        <v>15.4</v>
      </c>
      <c r="J20">
        <v>35.799999999999997</v>
      </c>
    </row>
    <row r="21" spans="1:10" x14ac:dyDescent="0.25">
      <c r="A21" t="s">
        <v>13</v>
      </c>
      <c r="B21" s="1">
        <v>7</v>
      </c>
      <c r="C21" s="1">
        <v>13</v>
      </c>
      <c r="D21" s="1">
        <v>31</v>
      </c>
      <c r="H21">
        <v>6.2</v>
      </c>
      <c r="I21">
        <v>13.3</v>
      </c>
      <c r="J21">
        <v>31.7</v>
      </c>
    </row>
    <row r="24" spans="1:10" x14ac:dyDescent="0.25">
      <c r="A24" t="s">
        <v>7</v>
      </c>
      <c r="F24">
        <v>107</v>
      </c>
    </row>
    <row r="26" spans="1:10" x14ac:dyDescent="0.25">
      <c r="A26" t="s">
        <v>8</v>
      </c>
      <c r="B26">
        <v>6</v>
      </c>
      <c r="C26">
        <v>3</v>
      </c>
      <c r="D26">
        <v>8</v>
      </c>
      <c r="F26">
        <v>0</v>
      </c>
      <c r="H26">
        <v>30</v>
      </c>
      <c r="I26">
        <v>15</v>
      </c>
      <c r="J26">
        <v>40</v>
      </c>
    </row>
    <row r="27" spans="1:10" x14ac:dyDescent="0.25">
      <c r="A27" t="s">
        <v>11</v>
      </c>
      <c r="B27">
        <v>8</v>
      </c>
      <c r="C27">
        <v>4</v>
      </c>
      <c r="D27">
        <v>9</v>
      </c>
      <c r="H27">
        <v>40</v>
      </c>
      <c r="I27">
        <v>20</v>
      </c>
      <c r="J27">
        <v>45</v>
      </c>
    </row>
    <row r="28" spans="1:10" x14ac:dyDescent="0.25">
      <c r="A28" t="s">
        <v>9</v>
      </c>
      <c r="B28">
        <v>84</v>
      </c>
      <c r="C28">
        <v>89</v>
      </c>
      <c r="D28">
        <v>94</v>
      </c>
      <c r="H28">
        <v>78.5</v>
      </c>
      <c r="I28">
        <v>83.1</v>
      </c>
      <c r="J28">
        <v>87.8</v>
      </c>
    </row>
    <row r="29" spans="1:10" x14ac:dyDescent="0.25">
      <c r="A29" t="s">
        <v>12</v>
      </c>
      <c r="B29">
        <v>90</v>
      </c>
      <c r="C29">
        <v>90</v>
      </c>
      <c r="D29">
        <v>95</v>
      </c>
      <c r="H29">
        <v>84.1</v>
      </c>
      <c r="I29">
        <v>84.1</v>
      </c>
      <c r="J29">
        <v>88.7</v>
      </c>
    </row>
    <row r="30" spans="1:10" x14ac:dyDescent="0.25">
      <c r="A30" t="s">
        <v>10</v>
      </c>
      <c r="B30">
        <v>23</v>
      </c>
      <c r="C30">
        <v>19</v>
      </c>
      <c r="D30">
        <v>13</v>
      </c>
      <c r="H30">
        <v>21.5</v>
      </c>
      <c r="I30">
        <v>16.899999999999999</v>
      </c>
      <c r="J30">
        <v>12.2</v>
      </c>
    </row>
    <row r="31" spans="1:10" x14ac:dyDescent="0.25">
      <c r="A31" t="s">
        <v>13</v>
      </c>
      <c r="B31">
        <v>17</v>
      </c>
      <c r="C31">
        <v>18</v>
      </c>
      <c r="D31">
        <v>12</v>
      </c>
      <c r="H31">
        <v>15.9</v>
      </c>
      <c r="I31">
        <v>15.9</v>
      </c>
      <c r="J31">
        <v>11.3</v>
      </c>
    </row>
    <row r="34" spans="1:13" x14ac:dyDescent="0.25">
      <c r="A34" t="s">
        <v>6</v>
      </c>
      <c r="F34">
        <v>62</v>
      </c>
    </row>
    <row r="36" spans="1:13" x14ac:dyDescent="0.25">
      <c r="A36" t="s">
        <v>8</v>
      </c>
      <c r="B36">
        <v>15</v>
      </c>
      <c r="C36">
        <v>17</v>
      </c>
      <c r="D36">
        <v>11</v>
      </c>
      <c r="G36">
        <v>75</v>
      </c>
      <c r="H36">
        <v>85</v>
      </c>
      <c r="I36">
        <v>55</v>
      </c>
    </row>
    <row r="37" spans="1:13" x14ac:dyDescent="0.25">
      <c r="A37" t="s">
        <v>11</v>
      </c>
      <c r="B37">
        <v>16</v>
      </c>
      <c r="C37">
        <v>17</v>
      </c>
      <c r="D37">
        <v>13</v>
      </c>
      <c r="G37">
        <v>80</v>
      </c>
      <c r="H37">
        <v>85</v>
      </c>
      <c r="I37">
        <v>65</v>
      </c>
    </row>
    <row r="38" spans="1:13" x14ac:dyDescent="0.25">
      <c r="A38" t="s">
        <v>9</v>
      </c>
      <c r="B38">
        <v>56</v>
      </c>
      <c r="C38">
        <v>59</v>
      </c>
      <c r="D38">
        <v>51</v>
      </c>
      <c r="G38">
        <v>90.3</v>
      </c>
      <c r="H38">
        <v>95.1</v>
      </c>
      <c r="I38">
        <v>82.2</v>
      </c>
    </row>
    <row r="39" spans="1:13" x14ac:dyDescent="0.25">
      <c r="A39" t="s">
        <v>12</v>
      </c>
      <c r="B39">
        <v>57</v>
      </c>
      <c r="C39">
        <v>59</v>
      </c>
      <c r="D39">
        <v>53</v>
      </c>
      <c r="G39">
        <v>91.9</v>
      </c>
      <c r="H39">
        <v>95.1</v>
      </c>
      <c r="I39">
        <v>85.4</v>
      </c>
    </row>
    <row r="40" spans="1:13" x14ac:dyDescent="0.25">
      <c r="A40" t="s">
        <v>10</v>
      </c>
      <c r="B40">
        <v>6</v>
      </c>
      <c r="C40">
        <v>3</v>
      </c>
      <c r="D40">
        <v>11</v>
      </c>
      <c r="G40">
        <v>9.6999999999999993</v>
      </c>
      <c r="H40">
        <v>4.9000000000000004</v>
      </c>
      <c r="I40">
        <v>17.8</v>
      </c>
    </row>
    <row r="41" spans="1:13" x14ac:dyDescent="0.25">
      <c r="A41" t="s">
        <v>13</v>
      </c>
      <c r="B41">
        <v>5</v>
      </c>
      <c r="C41">
        <v>3</v>
      </c>
      <c r="D41">
        <v>9</v>
      </c>
      <c r="G41">
        <v>8.1</v>
      </c>
      <c r="H41">
        <v>4.9000000000000004</v>
      </c>
      <c r="I41">
        <v>14.6</v>
      </c>
    </row>
    <row r="42" spans="1:13" x14ac:dyDescent="0.25">
      <c r="A42">
        <v>0</v>
      </c>
    </row>
    <row r="46" spans="1:13" x14ac:dyDescent="0.25">
      <c r="A46" t="s">
        <v>15</v>
      </c>
      <c r="F46">
        <f>SUM(F34,F24,F14,F4)</f>
        <v>369</v>
      </c>
    </row>
    <row r="47" spans="1:13" x14ac:dyDescent="0.25">
      <c r="C47" t="s">
        <v>3</v>
      </c>
      <c r="D47" t="s">
        <v>16</v>
      </c>
      <c r="E47" t="s">
        <v>17</v>
      </c>
    </row>
    <row r="48" spans="1:13" x14ac:dyDescent="0.25">
      <c r="A48" t="s">
        <v>8</v>
      </c>
      <c r="C48">
        <v>53.8</v>
      </c>
      <c r="D48">
        <v>51.3</v>
      </c>
      <c r="E48">
        <v>33.799999999999997</v>
      </c>
      <c r="K48">
        <f>SUM(B6,B16,B26,B36 )</f>
        <v>43</v>
      </c>
      <c r="L48">
        <f>SUM(C6, C16, C26, C36)</f>
        <v>41</v>
      </c>
      <c r="M48">
        <f>SUM(D6, D16, D26, D36)</f>
        <v>27</v>
      </c>
    </row>
    <row r="49" spans="1:13" x14ac:dyDescent="0.25">
      <c r="A49" t="s">
        <v>11</v>
      </c>
      <c r="C49">
        <v>63.8</v>
      </c>
      <c r="D49">
        <v>57.5</v>
      </c>
      <c r="E49">
        <v>38.799999999999997</v>
      </c>
      <c r="K49">
        <f t="shared" ref="K49:M53" si="0">SUM(B7,B17,B27,B37)</f>
        <v>51</v>
      </c>
      <c r="L49">
        <f t="shared" si="0"/>
        <v>46</v>
      </c>
      <c r="M49">
        <f t="shared" si="0"/>
        <v>31</v>
      </c>
    </row>
    <row r="50" spans="1:13" x14ac:dyDescent="0.25">
      <c r="A50" t="s">
        <v>9</v>
      </c>
      <c r="C50">
        <v>84.8</v>
      </c>
      <c r="D50">
        <v>87.8</v>
      </c>
      <c r="E50">
        <v>70.5</v>
      </c>
      <c r="K50">
        <f t="shared" si="0"/>
        <v>313</v>
      </c>
      <c r="L50">
        <f t="shared" si="0"/>
        <v>324</v>
      </c>
      <c r="M50">
        <f t="shared" si="0"/>
        <v>260</v>
      </c>
    </row>
    <row r="51" spans="1:13" x14ac:dyDescent="0.25">
      <c r="A51" t="s">
        <v>12</v>
      </c>
      <c r="C51">
        <v>89.2</v>
      </c>
      <c r="D51">
        <v>89.4</v>
      </c>
      <c r="E51">
        <v>73.400000000000006</v>
      </c>
      <c r="K51">
        <f t="shared" si="0"/>
        <v>329</v>
      </c>
      <c r="L51">
        <f t="shared" si="0"/>
        <v>330</v>
      </c>
      <c r="M51">
        <f t="shared" si="0"/>
        <v>271</v>
      </c>
    </row>
    <row r="52" spans="1:13" x14ac:dyDescent="0.25">
      <c r="A52" t="s">
        <v>10</v>
      </c>
      <c r="C52">
        <v>15.2</v>
      </c>
      <c r="D52">
        <v>12.2</v>
      </c>
      <c r="E52">
        <v>29.5</v>
      </c>
      <c r="K52">
        <f t="shared" si="0"/>
        <v>57</v>
      </c>
      <c r="L52">
        <f t="shared" si="0"/>
        <v>46</v>
      </c>
      <c r="M52">
        <f t="shared" si="0"/>
        <v>109</v>
      </c>
    </row>
    <row r="53" spans="1:13" x14ac:dyDescent="0.25">
      <c r="A53" t="s">
        <v>13</v>
      </c>
      <c r="C53">
        <v>10.8</v>
      </c>
      <c r="D53">
        <v>10.6</v>
      </c>
      <c r="E53">
        <v>26.6</v>
      </c>
      <c r="K53">
        <f t="shared" si="0"/>
        <v>41</v>
      </c>
      <c r="L53">
        <f t="shared" si="0"/>
        <v>40</v>
      </c>
      <c r="M53">
        <f t="shared" si="0"/>
        <v>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3FC9D8425E249B76C7FF49556EB0E" ma:contentTypeVersion="9" ma:contentTypeDescription="Create a new document." ma:contentTypeScope="" ma:versionID="677b927a4e3242911d2ab8807d184980">
  <xsd:schema xmlns:xsd="http://www.w3.org/2001/XMLSchema" xmlns:xs="http://www.w3.org/2001/XMLSchema" xmlns:p="http://schemas.microsoft.com/office/2006/metadata/properties" xmlns:ns3="045e9333-cccc-4c79-b989-718865960bd6" xmlns:ns4="fcdd215d-3927-4f48-a243-d2c024b5eb15" targetNamespace="http://schemas.microsoft.com/office/2006/metadata/properties" ma:root="true" ma:fieldsID="6788bd87f7d55477d249a202c9882693" ns3:_="" ns4:_="">
    <xsd:import namespace="045e9333-cccc-4c79-b989-718865960bd6"/>
    <xsd:import namespace="fcdd215d-3927-4f48-a243-d2c024b5eb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5e9333-cccc-4c79-b989-718865960b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dd215d-3927-4f48-a243-d2c024b5eb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45e9333-cccc-4c79-b989-718865960bd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75EB69-8E35-46E5-A0D1-0EABC54EC5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5e9333-cccc-4c79-b989-718865960bd6"/>
    <ds:schemaRef ds:uri="fcdd215d-3927-4f48-a243-d2c024b5eb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642456-4689-4391-812F-FD700DCE16C1}">
  <ds:schemaRefs>
    <ds:schemaRef ds:uri="http://purl.org/dc/terms/"/>
    <ds:schemaRef ds:uri="http://purl.org/dc/elements/1.1/"/>
    <ds:schemaRef ds:uri="http://schemas.microsoft.com/office/2006/metadata/properties"/>
    <ds:schemaRef ds:uri="045e9333-cccc-4c79-b989-718865960bd6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fcdd215d-3927-4f48-a243-d2c024b5eb1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26FAD64-7EAE-4C05-9748-3790F0B6135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Vinit Raman Chandak</dc:creator>
  <cp:lastModifiedBy>Vinit Raman Chandak</cp:lastModifiedBy>
  <dcterms:created xsi:type="dcterms:W3CDTF">2024-05-28T10:30:32Z</dcterms:created>
  <dcterms:modified xsi:type="dcterms:W3CDTF">2024-06-14T13:54:06Z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0x01010083B3FC9D8425E249B76C7FF49556EB0E</vt:lpwstr>
  </property>
</Properties>
</file>